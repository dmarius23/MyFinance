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Development" sheetId="3" state="visible" r:id="rId5"/>
    <sheet name="Running Co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<sst xmlns="http://schemas.openxmlformats.org/spreadsheetml/2006/main" count="228" uniqueCount="173">
  <si>
    <t xml:space="preserve">MyFinance Accounting Portal — Cost Summary</t>
  </si>
  <si>
    <t xml:space="preserve">AI-assisted build (Claude Code) · figures in EUR · v1 · 31 May 2026</t>
  </si>
  <si>
    <t xml:space="preserve">Development (one-time)</t>
  </si>
  <si>
    <t xml:space="preserve">PoC — de-risk extraction &amp; reconciliation</t>
  </si>
  <si>
    <t xml:space="preserve">MVP — full multi-tenant product (labour)</t>
  </si>
  <si>
    <t xml:space="preserve">Claude Code subscription (PoC+MVP build)</t>
  </si>
  <si>
    <t xml:space="preserve">TOTAL development (PoC + MVP)</t>
  </si>
  <si>
    <t xml:space="preserve">Future phase (optional, rough)</t>
  </si>
  <si>
    <t xml:space="preserve">Running (recurring)</t>
  </si>
  <si>
    <t xml:space="preserve">Expected — per month</t>
  </si>
  <si>
    <t xml:space="preserve">Expected — per year</t>
  </si>
  <si>
    <t xml:space="preserve">Range — per month (low / high)</t>
  </si>
  <si>
    <t xml:space="preserve">Key assumptions</t>
  </si>
  <si>
    <t xml:space="preserve">• Oversight rate €40/h; 1× Claude Code Max ≈ €180/mo; ~30 oversight hrs/week.</t>
  </si>
  <si>
    <t xml:space="preserve">• Hours are HUMAN OVERSIGHT of Claude Code (code, tests, docs, user stories, IaC) — not full hand-coding.</t>
  </si>
  <si>
    <t xml:space="preserve">• Running cost at MVP scale (~1–3k companies); OCR/LLM are the main variables.</t>
  </si>
  <si>
    <t xml:space="preserve">• Stack: Java/Spring + worker on Hetzner, Supabase (DB+Auth+Storage), React PWA on Vercel/Cloudflare.</t>
  </si>
  <si>
    <t xml:space="preserve">• Excludes VAT, third-party setup fees, and human end-user support. Editable inputs are blue.</t>
  </si>
  <si>
    <t xml:space="preserve">MyFinance Accounting Portal — Estimation Assumptions &amp; Methodology</t>
  </si>
  <si>
    <t xml:space="preserve">Development cost drivers</t>
  </si>
  <si>
    <t xml:space="preserve">Oversight / review rate (€ per hour)</t>
  </si>
  <si>
    <t xml:space="preserve">Your time guiding &amp; reviewing Claude Code (blue = editable input)</t>
  </si>
  <si>
    <t xml:space="preserve">Claude Code Max subscription (€ per month)</t>
  </si>
  <si>
    <t xml:space="preserve">1 seat, Max 5x tier</t>
  </si>
  <si>
    <t xml:space="preserve">Oversight hours per week</t>
  </si>
  <si>
    <t xml:space="preserve">Productive human hours/week during the build</t>
  </si>
  <si>
    <t xml:space="preserve">Weeks per month</t>
  </si>
  <si>
    <t xml:space="preserve">Constant</t>
  </si>
  <si>
    <t xml:space="preserve">Running cost drivers (OCR)</t>
  </si>
  <si>
    <t xml:space="preserve">Active client companies (MVP)</t>
  </si>
  <si>
    <t xml:space="preserve">Mid of ~1–3k target</t>
  </si>
  <si>
    <t xml:space="preserve">Paid-OCR pages per company per month</t>
  </si>
  <si>
    <t xml:space="preserve">Most uploads are text PDFs parsed free in-process; only photo/scanned receipts hit paid OCR</t>
  </si>
  <si>
    <t xml:space="preserve">OCR price per 1,000 pages (€)</t>
  </si>
  <si>
    <t xml:space="preserve">Managed Document-AI, pay-per-use</t>
  </si>
  <si>
    <t xml:space="preserve">OCR monthly (expected, €)</t>
  </si>
  <si>
    <t xml:space="preserve">Methodology</t>
  </si>
  <si>
    <t xml:space="preserve">• Development is performed by Claude Code, which writes the code, tests, documentation, user stories,</t>
  </si>
  <si>
    <t xml:space="preserve">  and infrastructure-as-code (Terraform). The hours below are HUMAN OVERSIGHT hours (guiding, reviewing,</t>
  </si>
  <si>
    <t xml:space="preserve">  correcting, integrating) — not full hand-coding effort. A traditional human-team build of this scope would</t>
  </si>
  <si>
    <t xml:space="preserve">  be several times higher in effort and cost.</t>
  </si>
  <si>
    <t xml:space="preserve">• Development cost = oversight hours × rate + Claude Code subscription over the build duration.</t>
  </si>
  <si>
    <t xml:space="preserve">• Build duration is derived from total hours ÷ (oversight hours/week × weeks/month).</t>
  </si>
  <si>
    <t xml:space="preserve">• Running cost is a separate monthly estimate at MVP scale, shown low / expected / high.</t>
  </si>
  <si>
    <t xml:space="preserve">• OCR and LLM usage are the main variable running costs; receipts-only OCR keeps it bounded, and a future</t>
  </si>
  <si>
    <t xml:space="preserve">  e-Factura/ANAF integration would remove most invoice processing entirely.</t>
  </si>
  <si>
    <t xml:space="preserve">• Figures exclude VAT, one-off third-party setup (e.g. WhatsApp onboarding), and human end-user support.</t>
  </si>
  <si>
    <t xml:space="preserve">• Hosting per architecture v1: Java/Spring + worker on Hetzner (always-on), Supabase (DB+Auth+Storage),</t>
  </si>
  <si>
    <t xml:space="preserve">  React PWA on Vercel/Cloudflare, managed Document-AI for receipts.</t>
  </si>
  <si>
    <t xml:space="preserve">Development Estimation (AI-assisted build by Claude Code)</t>
  </si>
  <si>
    <t xml:space="preserve">ID</t>
  </si>
  <si>
    <t xml:space="preserve">Module / Workstream</t>
  </si>
  <si>
    <t xml:space="preserve">Phase</t>
  </si>
  <si>
    <t xml:space="preserve">Complexity</t>
  </si>
  <si>
    <t xml:space="preserve">Oversight hrs</t>
  </si>
  <si>
    <t xml:space="preserve">Labour cost</t>
  </si>
  <si>
    <t xml:space="preserve">— PoC: de-risk extraction + reconciliation —</t>
  </si>
  <si>
    <t xml:space="preserve">PoC-A</t>
  </si>
  <si>
    <t xml:space="preserve">Scaffolding + minimal auth/company setup</t>
  </si>
  <si>
    <t xml:space="preserve">PoC</t>
  </si>
  <si>
    <t xml:space="preserve">Medium</t>
  </si>
  <si>
    <t xml:space="preserve">PoC-B</t>
  </si>
  <si>
    <t xml:space="preserve">Extraction spike (VALIDATED on real BRD/BT/balance/D212 — build parser library)</t>
  </si>
  <si>
    <t xml:space="preserve">High</t>
  </si>
  <si>
    <t xml:space="preserve">PoC-C</t>
  </si>
  <si>
    <t xml:space="preserve">Reconciliation engine + missing-document detection (logic proven)</t>
  </si>
  <si>
    <t xml:space="preserve">Med-High</t>
  </si>
  <si>
    <t xml:space="preserve">PoC-D</t>
  </si>
  <si>
    <t xml:space="preserve">State-payment email auto-fill (amounts + deadline + treasury)</t>
  </si>
  <si>
    <t xml:space="preserve">PoC subtotal</t>
  </si>
  <si>
    <t xml:space="preserve">— MVP: full multi-tenant product —</t>
  </si>
  <si>
    <t xml:space="preserve">MOD-01</t>
  </si>
  <si>
    <t xml:space="preserve">Tenant Administration</t>
  </si>
  <si>
    <t xml:space="preserve">MVP</t>
  </si>
  <si>
    <t xml:space="preserve">MOD-02</t>
  </si>
  <si>
    <t xml:space="preserve">Users, Accounts &amp; Access (Supabase Auth, RBAC, RLS)</t>
  </si>
  <si>
    <t xml:space="preserve">MOD-03</t>
  </si>
  <si>
    <t xml:space="preserve">Client Company Management (tax profile, treasury, HR registry)</t>
  </si>
  <si>
    <t xml:space="preserve">MOD-04</t>
  </si>
  <si>
    <t xml:space="preserve">Document Intake &amp; Reconciliation (core differentiator; logic proven)</t>
  </si>
  <si>
    <t xml:space="preserve">MOD-05</t>
  </si>
  <si>
    <t xml:space="preserve">Document Extraction Engine (per-bank parsers + per-decl XML mappers)</t>
  </si>
  <si>
    <t xml:space="preserve">MOD-06</t>
  </si>
  <si>
    <t xml:space="preserve">Financial Statements &amp; Reports</t>
  </si>
  <si>
    <t xml:space="preserve">MOD-07</t>
  </si>
  <si>
    <t xml:space="preserve">Fiscal Declarations &amp; State Payments</t>
  </si>
  <si>
    <t xml:space="preserve">MOD-08</t>
  </si>
  <si>
    <t xml:space="preserve">Payroll (State de plata)</t>
  </si>
  <si>
    <t xml:space="preserve">Low-Med</t>
  </si>
  <si>
    <t xml:space="preserve">MOD-09</t>
  </si>
  <si>
    <t xml:space="preserve">Notifications Engine (email + in-app)</t>
  </si>
  <si>
    <t xml:space="preserve">MOD-10</t>
  </si>
  <si>
    <t xml:space="preserve">Internal Tasks</t>
  </si>
  <si>
    <t xml:space="preserve">Low</t>
  </si>
  <si>
    <t xml:space="preserve">MOD-11</t>
  </si>
  <si>
    <t xml:space="preserve">Dashboards (overview + tiles + new-companies; prototype-defined)</t>
  </si>
  <si>
    <t xml:space="preserve">MOD-12</t>
  </si>
  <si>
    <t xml:space="preserve">Audit, Security &amp; GDPR</t>
  </si>
  <si>
    <t xml:space="preserve">MOD-13</t>
  </si>
  <si>
    <t xml:space="preserve">AI Chatbot + Knowledge Base (incl. guardrails spike)</t>
  </si>
  <si>
    <t xml:space="preserve">MOD-14</t>
  </si>
  <si>
    <t xml:space="preserve">Mobile / PWA (responsive, camera, web push)</t>
  </si>
  <si>
    <t xml:space="preserve">X-01</t>
  </si>
  <si>
    <t xml:space="preserve">Project setup, scaffolding &amp; IaC (Terraform, Hetzner, Supabase, CI/CD)</t>
  </si>
  <si>
    <t xml:space="preserve">X-02</t>
  </si>
  <si>
    <t xml:space="preserve">Integration &amp; end-to-end testing / hardening</t>
  </si>
  <si>
    <t xml:space="preserve">X-03</t>
  </si>
  <si>
    <t xml:space="preserve">Deployment, environments &amp; observability</t>
  </si>
  <si>
    <t xml:space="preserve">X-04</t>
  </si>
  <si>
    <t xml:space="preserve">Bilingual i18n (Romanian + English)</t>
  </si>
  <si>
    <t xml:space="preserve">X-05</t>
  </si>
  <si>
    <t xml:space="preserve">Documentation + user-story backlog (Claude-generated, you review)</t>
  </si>
  <si>
    <t xml:space="preserve">MVP subtotal</t>
  </si>
  <si>
    <t xml:space="preserve">— Future (rough, optional) —</t>
  </si>
  <si>
    <t xml:space="preserve">F-01</t>
  </si>
  <si>
    <t xml:space="preserve">WhatsApp notification channel</t>
  </si>
  <si>
    <t xml:space="preserve">Future</t>
  </si>
  <si>
    <t xml:space="preserve">F-02</t>
  </si>
  <si>
    <t xml:space="preserve">e-Factura / ANAF SPV integration</t>
  </si>
  <si>
    <t xml:space="preserve">F-03</t>
  </si>
  <si>
    <t xml:space="preserve">In-app two-way messaging</t>
  </si>
  <si>
    <t xml:space="preserve">F-04</t>
  </si>
  <si>
    <t xml:space="preserve">Native mobile app</t>
  </si>
  <si>
    <t xml:space="preserve">Very High</t>
  </si>
  <si>
    <t xml:space="preserve">F-05</t>
  </si>
  <si>
    <t xml:space="preserve">Per-employee payslip distribution</t>
  </si>
  <si>
    <t xml:space="preserve">F-06</t>
  </si>
  <si>
    <t xml:space="preserve">Payroll-system integration</t>
  </si>
  <si>
    <t xml:space="preserve">F-07</t>
  </si>
  <si>
    <t xml:space="preserve">Per-tenant template customization</t>
  </si>
  <si>
    <t xml:space="preserve">F-08</t>
  </si>
  <si>
    <t xml:space="preserve">Per-employee company-access restriction</t>
  </si>
  <si>
    <t xml:space="preserve">F-09</t>
  </si>
  <si>
    <t xml:space="preserve">Database-per-tenant premium tier</t>
  </si>
  <si>
    <t xml:space="preserve">Future subtotal</t>
  </si>
  <si>
    <t xml:space="preserve">Cost summary</t>
  </si>
  <si>
    <t xml:space="preserve">PoC — labour (oversight)</t>
  </si>
  <si>
    <t xml:space="preserve">MVP — labour (oversight)</t>
  </si>
  <si>
    <t xml:space="preserve">PoC+MVP — total oversight hours</t>
  </si>
  <si>
    <t xml:space="preserve">PoC+MVP — build duration (months)</t>
  </si>
  <si>
    <t xml:space="preserve">PoC+MVP — Claude Code subscription</t>
  </si>
  <si>
    <t xml:space="preserve">PoC+MVP — TOTAL development cost</t>
  </si>
  <si>
    <t xml:space="preserve">Future — labour (oversight)</t>
  </si>
  <si>
    <t xml:space="preserve">Future — build duration (months)</t>
  </si>
  <si>
    <t xml:space="preserve">Future — Claude Code subscription</t>
  </si>
  <si>
    <t xml:space="preserve">Future — TOTAL development cost</t>
  </si>
  <si>
    <t xml:space="preserve">Running Cost — Monthly (MVP scale)</t>
  </si>
  <si>
    <t xml:space="preserve">Item</t>
  </si>
  <si>
    <t xml:space="preserve">Notes</t>
  </si>
  <si>
    <t xml:space="preserve">Low (€/mo)</t>
  </si>
  <si>
    <t xml:space="preserve">Expected (€/mo)</t>
  </si>
  <si>
    <t xml:space="preserve">High (€/mo)</t>
  </si>
  <si>
    <t xml:space="preserve">Hetzner — backend app server</t>
  </si>
  <si>
    <t xml:space="preserve">Spring API (CPX31-class)</t>
  </si>
  <si>
    <t xml:space="preserve">Hetzner — worker server</t>
  </si>
  <si>
    <t xml:space="preserve">Extraction/notification worker (CPX21-class)</t>
  </si>
  <si>
    <t xml:space="preserve">Redis / queue</t>
  </si>
  <si>
    <t xml:space="preserve">Small instance or Postgres pgmq</t>
  </si>
  <si>
    <t xml:space="preserve">Supabase Pro</t>
  </si>
  <si>
    <t xml:space="preserve">Postgres + Auth + Storage (+ storage overage)</t>
  </si>
  <si>
    <t xml:space="preserve">Frontend hosting</t>
  </si>
  <si>
    <t xml:space="preserve">Vercel/Cloudflare (free → Pro)</t>
  </si>
  <si>
    <t xml:space="preserve">Document-AI OCR</t>
  </si>
  <si>
    <t xml:space="preserve">Receipts only, pay-per-use (=Assumptions OCR)</t>
  </si>
  <si>
    <t xml:space="preserve">LLM (chatbot)</t>
  </si>
  <si>
    <t xml:space="preserve">Usage-based, modest at MVP</t>
  </si>
  <si>
    <t xml:space="preserve">Transactional email</t>
  </si>
  <si>
    <t xml:space="preserve">Report/tax/payroll/notification email</t>
  </si>
  <si>
    <t xml:space="preserve">Domain, TLS, misc</t>
  </si>
  <si>
    <t xml:space="preserve">DNS, certs, monitoring buffer</t>
  </si>
  <si>
    <t xml:space="preserve">Total per month</t>
  </si>
  <si>
    <t xml:space="preserve">Total per year</t>
  </si>
  <si>
    <t xml:space="preserve">OCR and LLM are the main variable costs; receipts-only OCR bounds them, and a future e-Factura integration removes most invoice processing.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</si>
</sst>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€#,##0;&quot;(€&quot;#,##0\);\-"/>
    <numFmt numFmtId="166" formatCode="0"/>
    <numFmt numFmtId="167" formatCode="0.00"/>
    <numFmt numFmtId="168" formatCode="#,##0"/>
    <numFmt numFmtId="169" formatCode="\€#,##0.0"/>
    <numFmt numFmtId="170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333333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i val="true"/>
      <sz val="11"/>
      <color rgb="FF1F4E7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11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555555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4" min="3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true" outlineLevel="0" collapsed="false">
      <c r="A5" s="5" t="s">
        <v>3</v>
      </c>
      <c r="B5" s="5"/>
      <c r="C5" s="6" t="n">
        <f aca="false">Development!F44</f>
        <v>1320</v>
      </c>
    </row>
    <row r="6" customFormat="false" ht="15" hidden="false" customHeight="true" outlineLevel="0" collapsed="false">
      <c r="A6" s="5" t="s">
        <v>4</v>
      </c>
      <c r="B6" s="5"/>
      <c r="C6" s="6" t="n">
        <f aca="false">Development!F45</f>
        <v>6480</v>
      </c>
    </row>
    <row r="7" customFormat="false" ht="15" hidden="false" customHeight="true" outlineLevel="0" collapsed="false">
      <c r="A7" s="5" t="s">
        <v>5</v>
      </c>
      <c r="B7" s="5"/>
      <c r="C7" s="6" t="n">
        <f aca="false">Development!F48</f>
        <v>135.103926096998</v>
      </c>
    </row>
    <row r="8" customFormat="false" ht="15" hidden="false" customHeight="true" outlineLevel="0" collapsed="false">
      <c r="A8" s="7" t="s">
        <v>6</v>
      </c>
      <c r="B8" s="7"/>
      <c r="C8" s="8" t="n">
        <f aca="false">Development!F49</f>
        <v>7935.103926097</v>
      </c>
    </row>
    <row r="9" customFormat="false" ht="15" hidden="false" customHeight="true" outlineLevel="0" collapsed="false">
      <c r="A9" s="5" t="s">
        <v>7</v>
      </c>
      <c r="B9" s="5"/>
      <c r="C9" s="6" t="n">
        <f aca="false">Development!F54</f>
        <v>8464.11085450346</v>
      </c>
    </row>
    <row r="11" customFormat="false" ht="15" hidden="false" customHeight="false" outlineLevel="0" collapsed="false">
      <c r="A11" s="3" t="s">
        <v>8</v>
      </c>
      <c r="B11" s="4"/>
      <c r="C11" s="4"/>
    </row>
    <row r="12" customFormat="false" ht="15" hidden="false" customHeight="true" outlineLevel="0" collapsed="false">
      <c r="A12" s="5" t="s">
        <v>9</v>
      </c>
      <c r="B12" s="5"/>
      <c r="C12" s="6" t="n">
        <f aca="false">'Running Cost'!D13</f>
        <v>199</v>
      </c>
    </row>
    <row r="13" customFormat="false" ht="15" hidden="false" customHeight="true" outlineLevel="0" collapsed="false">
      <c r="A13" s="5" t="s">
        <v>10</v>
      </c>
      <c r="B13" s="5"/>
      <c r="C13" s="6" t="n">
        <f aca="false">'Running Cost'!D13*12</f>
        <v>2388</v>
      </c>
    </row>
    <row r="14" customFormat="false" ht="15" hidden="false" customHeight="true" outlineLevel="0" collapsed="false">
      <c r="A14" s="5" t="s">
        <v>11</v>
      </c>
      <c r="B14" s="5"/>
      <c r="C14" s="6" t="n">
        <f aca="false">'Running Cost'!C13</f>
        <v>93.5</v>
      </c>
      <c r="D14" s="6" t="n">
        <f aca="false">'Running Cost'!E13</f>
        <v>427</v>
      </c>
    </row>
    <row r="16" customFormat="false" ht="15" hidden="false" customHeight="false" outlineLevel="0" collapsed="false">
      <c r="A16" s="3" t="s">
        <v>12</v>
      </c>
      <c r="B16" s="4"/>
      <c r="C16" s="4"/>
    </row>
    <row r="17" customFormat="false" ht="15" hidden="false" customHeight="true" outlineLevel="0" collapsed="false">
      <c r="A17" s="9" t="s">
        <v>13</v>
      </c>
      <c r="B17" s="9"/>
      <c r="C17" s="9"/>
      <c r="D17" s="9"/>
    </row>
    <row r="18" customFormat="false" ht="26.85" hidden="false" customHeight="true" outlineLevel="0" collapsed="false">
      <c r="A18" s="9" t="s">
        <v>14</v>
      </c>
      <c r="B18" s="9"/>
      <c r="C18" s="9"/>
      <c r="D18" s="9"/>
    </row>
    <row r="19" customFormat="false" ht="15" hidden="false" customHeight="true" outlineLevel="0" collapsed="false">
      <c r="A19" s="9" t="s">
        <v>15</v>
      </c>
      <c r="B19" s="9"/>
      <c r="C19" s="9"/>
      <c r="D19" s="9"/>
    </row>
    <row r="20" customFormat="false" ht="26.85" hidden="false" customHeight="true" outlineLevel="0" collapsed="false">
      <c r="A20" s="9" t="s">
        <v>16</v>
      </c>
      <c r="B20" s="9"/>
      <c r="C20" s="9"/>
      <c r="D20" s="9"/>
    </row>
    <row r="21" customFormat="false" ht="26.85" hidden="false" customHeight="true" outlineLevel="0" collapsed="false">
      <c r="A21" s="9" t="s">
        <v>17</v>
      </c>
      <c r="B21" s="9"/>
      <c r="C21" s="9"/>
      <c r="D21" s="9"/>
    </row>
  </sheetData>
  <mergeCells count="15">
    <mergeCell ref="A1:D1"/>
    <mergeCell ref="A2:D2"/>
    <mergeCell ref="A5:B5"/>
    <mergeCell ref="A6:B6"/>
    <mergeCell ref="A7:B7"/>
    <mergeCell ref="A8:B8"/>
    <mergeCell ref="A9:B9"/>
    <mergeCell ref="A12:B12"/>
    <mergeCell ref="A13:B13"/>
    <mergeCell ref="A14:B14"/>
    <mergeCell ref="A17:D17"/>
    <mergeCell ref="A18:D18"/>
    <mergeCell ref="A19:D19"/>
    <mergeCell ref="A20:D20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0" t="s">
        <v>18</v>
      </c>
      <c r="B1" s="10"/>
      <c r="C1" s="10"/>
      <c r="D1" s="10"/>
    </row>
    <row r="3" customFormat="false" ht="15" hidden="false" customHeight="false" outlineLevel="0" collapsed="false">
      <c r="A3" s="11" t="s">
        <v>19</v>
      </c>
    </row>
    <row r="4" customFormat="false" ht="26.85" hidden="false" customHeight="false" outlineLevel="0" collapsed="false">
      <c r="A4" s="12" t="s">
        <v>20</v>
      </c>
      <c r="B4" s="13" t="n">
        <v>40</v>
      </c>
      <c r="C4" s="14" t="s">
        <v>21</v>
      </c>
    </row>
    <row r="5" customFormat="false" ht="15" hidden="false" customHeight="false" outlineLevel="0" collapsed="false">
      <c r="A5" s="12" t="s">
        <v>22</v>
      </c>
      <c r="B5" s="13" t="n">
        <v>90</v>
      </c>
      <c r="C5" s="14" t="s">
        <v>23</v>
      </c>
    </row>
    <row r="6" customFormat="false" ht="15" hidden="false" customHeight="false" outlineLevel="0" collapsed="false">
      <c r="A6" s="12" t="s">
        <v>24</v>
      </c>
      <c r="B6" s="15" t="n">
        <v>30</v>
      </c>
      <c r="C6" s="14" t="s">
        <v>25</v>
      </c>
    </row>
    <row r="7" customFormat="false" ht="15" hidden="false" customHeight="false" outlineLevel="0" collapsed="false">
      <c r="A7" s="12" t="s">
        <v>26</v>
      </c>
      <c r="B7" s="16" t="n">
        <v>4.33</v>
      </c>
      <c r="C7" s="14" t="s">
        <v>27</v>
      </c>
    </row>
    <row r="9" customFormat="false" ht="15" hidden="false" customHeight="false" outlineLevel="0" collapsed="false">
      <c r="A9" s="11" t="s">
        <v>28</v>
      </c>
    </row>
    <row r="10" customFormat="false" ht="15" hidden="false" customHeight="false" outlineLevel="0" collapsed="false">
      <c r="A10" s="12" t="s">
        <v>29</v>
      </c>
      <c r="B10" s="17" t="n">
        <v>1500</v>
      </c>
      <c r="C10" s="14" t="s">
        <v>30</v>
      </c>
    </row>
    <row r="11" customFormat="false" ht="26.85" hidden="false" customHeight="false" outlineLevel="0" collapsed="false">
      <c r="A11" s="12" t="s">
        <v>31</v>
      </c>
      <c r="B11" s="15" t="n">
        <v>6</v>
      </c>
      <c r="C11" s="14" t="s">
        <v>32</v>
      </c>
    </row>
    <row r="12" customFormat="false" ht="15" hidden="false" customHeight="false" outlineLevel="0" collapsed="false">
      <c r="A12" s="12" t="s">
        <v>33</v>
      </c>
      <c r="B12" s="18" t="n">
        <v>7</v>
      </c>
      <c r="C12" s="14" t="s">
        <v>34</v>
      </c>
    </row>
    <row r="13" customFormat="false" ht="15" hidden="false" customHeight="false" outlineLevel="0" collapsed="false">
      <c r="A13" s="12" t="s">
        <v>35</v>
      </c>
      <c r="B13" s="6" t="n">
        <f aca="false">B10*B11*B12/1000</f>
        <v>63</v>
      </c>
    </row>
    <row r="15" customFormat="false" ht="15" hidden="false" customHeight="false" outlineLevel="0" collapsed="false">
      <c r="A15" s="19"/>
    </row>
    <row r="16" customFormat="false" ht="15" hidden="false" customHeight="false" outlineLevel="0" collapsed="false">
      <c r="A16" s="20" t="s">
        <v>36</v>
      </c>
    </row>
    <row r="17" customFormat="false" ht="39.55" hidden="false" customHeight="false" outlineLevel="0" collapsed="false">
      <c r="A17" s="19" t="s">
        <v>37</v>
      </c>
    </row>
    <row r="18" customFormat="false" ht="39.55" hidden="false" customHeight="false" outlineLevel="0" collapsed="false">
      <c r="A18" s="19" t="s">
        <v>38</v>
      </c>
    </row>
    <row r="19" customFormat="false" ht="39.55" hidden="false" customHeight="false" outlineLevel="0" collapsed="false">
      <c r="A19" s="19" t="s">
        <v>39</v>
      </c>
    </row>
    <row r="20" customFormat="false" ht="15" hidden="false" customHeight="false" outlineLevel="0" collapsed="false">
      <c r="A20" s="19" t="s">
        <v>40</v>
      </c>
    </row>
    <row r="21" customFormat="false" ht="39.55" hidden="false" customHeight="false" outlineLevel="0" collapsed="false">
      <c r="A21" s="19" t="s">
        <v>41</v>
      </c>
    </row>
    <row r="22" customFormat="false" ht="26.85" hidden="false" customHeight="false" outlineLevel="0" collapsed="false">
      <c r="A22" s="19" t="s">
        <v>42</v>
      </c>
    </row>
    <row r="23" customFormat="false" ht="26.85" hidden="false" customHeight="false" outlineLevel="0" collapsed="false">
      <c r="A23" s="19" t="s">
        <v>43</v>
      </c>
    </row>
    <row r="24" customFormat="false" ht="39.55" hidden="false" customHeight="false" outlineLevel="0" collapsed="false">
      <c r="A24" s="19" t="s">
        <v>44</v>
      </c>
    </row>
    <row r="25" customFormat="false" ht="26.85" hidden="false" customHeight="false" outlineLevel="0" collapsed="false">
      <c r="A25" s="19" t="s">
        <v>45</v>
      </c>
    </row>
    <row r="26" customFormat="false" ht="39.55" hidden="false" customHeight="false" outlineLevel="0" collapsed="false">
      <c r="A26" s="19" t="s">
        <v>46</v>
      </c>
    </row>
    <row r="27" customFormat="false" ht="39.55" hidden="false" customHeight="false" outlineLevel="0" collapsed="false">
      <c r="A27" s="19" t="s">
        <v>47</v>
      </c>
    </row>
    <row r="28" customFormat="false" ht="26.85" hidden="false" customHeight="false" outlineLevel="0" collapsed="false">
      <c r="A28" s="19" t="s">
        <v>48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0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5"/>
  </cols>
  <sheetData>
    <row r="1" customFormat="false" ht="17.35" hidden="false" customHeight="false" outlineLevel="0" collapsed="false">
      <c r="A1" s="10" t="s">
        <v>49</v>
      </c>
      <c r="B1" s="10"/>
      <c r="C1" s="10"/>
      <c r="D1" s="10"/>
      <c r="E1" s="10"/>
      <c r="F1" s="10"/>
    </row>
    <row r="3" customFormat="false" ht="15" hidden="false" customHeight="false" outlineLevel="0" collapsed="false">
      <c r="A3" s="21" t="s">
        <v>50</v>
      </c>
      <c r="B3" s="22" t="s">
        <v>51</v>
      </c>
      <c r="C3" s="21" t="s">
        <v>52</v>
      </c>
      <c r="D3" s="21" t="s">
        <v>53</v>
      </c>
      <c r="E3" s="21" t="s">
        <v>54</v>
      </c>
      <c r="F3" s="21" t="s">
        <v>55</v>
      </c>
    </row>
    <row r="4" customFormat="false" ht="15" hidden="false" customHeight="false" outlineLevel="0" collapsed="false">
      <c r="A4" s="23"/>
      <c r="B4" s="24" t="s">
        <v>56</v>
      </c>
      <c r="C4" s="23"/>
      <c r="D4" s="23"/>
      <c r="E4" s="23"/>
      <c r="F4" s="23"/>
    </row>
    <row r="5" customFormat="false" ht="15" hidden="false" customHeight="false" outlineLevel="0" collapsed="false">
      <c r="A5" s="25" t="s">
        <v>57</v>
      </c>
      <c r="B5" s="5" t="s">
        <v>58</v>
      </c>
      <c r="C5" s="26" t="s">
        <v>59</v>
      </c>
      <c r="D5" s="26" t="s">
        <v>60</v>
      </c>
      <c r="E5" s="27" t="n">
        <v>6</v>
      </c>
      <c r="F5" s="6" t="n">
        <f aca="false">E5*Assumptions!$B$4</f>
        <v>240</v>
      </c>
    </row>
    <row r="6" customFormat="false" ht="26.85" hidden="false" customHeight="false" outlineLevel="0" collapsed="false">
      <c r="A6" s="25" t="s">
        <v>61</v>
      </c>
      <c r="B6" s="5" t="s">
        <v>62</v>
      </c>
      <c r="C6" s="26" t="s">
        <v>59</v>
      </c>
      <c r="D6" s="26" t="s">
        <v>63</v>
      </c>
      <c r="E6" s="27" t="n">
        <v>12</v>
      </c>
      <c r="F6" s="6" t="n">
        <f aca="false">E6*Assumptions!$B$4</f>
        <v>480</v>
      </c>
    </row>
    <row r="7" customFormat="false" ht="26.85" hidden="false" customHeight="false" outlineLevel="0" collapsed="false">
      <c r="A7" s="25" t="s">
        <v>64</v>
      </c>
      <c r="B7" s="5" t="s">
        <v>65</v>
      </c>
      <c r="C7" s="26" t="s">
        <v>59</v>
      </c>
      <c r="D7" s="26" t="s">
        <v>66</v>
      </c>
      <c r="E7" s="27" t="n">
        <v>10</v>
      </c>
      <c r="F7" s="6" t="n">
        <f aca="false">E7*Assumptions!$B$4</f>
        <v>400</v>
      </c>
    </row>
    <row r="8" customFormat="false" ht="15" hidden="false" customHeight="false" outlineLevel="0" collapsed="false">
      <c r="A8" s="25" t="s">
        <v>67</v>
      </c>
      <c r="B8" s="5" t="s">
        <v>68</v>
      </c>
      <c r="C8" s="26" t="s">
        <v>59</v>
      </c>
      <c r="D8" s="26" t="s">
        <v>60</v>
      </c>
      <c r="E8" s="27" t="n">
        <v>5</v>
      </c>
      <c r="F8" s="6" t="n">
        <f aca="false">E8*Assumptions!$B$4</f>
        <v>200</v>
      </c>
    </row>
    <row r="9" customFormat="false" ht="15" hidden="false" customHeight="false" outlineLevel="0" collapsed="false">
      <c r="A9" s="28"/>
      <c r="B9" s="29" t="s">
        <v>69</v>
      </c>
      <c r="C9" s="28"/>
      <c r="D9" s="28"/>
      <c r="E9" s="30" t="n">
        <f aca="false">SUM(E5:E8)</f>
        <v>33</v>
      </c>
      <c r="F9" s="31" t="n">
        <f aca="false">SUM(F5:F8)</f>
        <v>1320</v>
      </c>
    </row>
    <row r="10" customFormat="false" ht="15" hidden="false" customHeight="false" outlineLevel="0" collapsed="false">
      <c r="A10" s="23"/>
      <c r="B10" s="24" t="s">
        <v>70</v>
      </c>
      <c r="C10" s="23"/>
      <c r="D10" s="23"/>
      <c r="E10" s="23"/>
      <c r="F10" s="23"/>
    </row>
    <row r="11" customFormat="false" ht="15" hidden="false" customHeight="false" outlineLevel="0" collapsed="false">
      <c r="A11" s="25" t="s">
        <v>71</v>
      </c>
      <c r="B11" s="5" t="s">
        <v>72</v>
      </c>
      <c r="C11" s="26" t="s">
        <v>73</v>
      </c>
      <c r="D11" s="26" t="s">
        <v>60</v>
      </c>
      <c r="E11" s="27" t="n">
        <v>6</v>
      </c>
      <c r="F11" s="6" t="n">
        <f aca="false">E11*Assumptions!$B$4</f>
        <v>240</v>
      </c>
    </row>
    <row r="12" customFormat="false" ht="15" hidden="false" customHeight="false" outlineLevel="0" collapsed="false">
      <c r="A12" s="25" t="s">
        <v>74</v>
      </c>
      <c r="B12" s="5" t="s">
        <v>75</v>
      </c>
      <c r="C12" s="26" t="s">
        <v>73</v>
      </c>
      <c r="D12" s="26" t="s">
        <v>66</v>
      </c>
      <c r="E12" s="27" t="n">
        <v>8</v>
      </c>
      <c r="F12" s="6" t="n">
        <f aca="false">E12*Assumptions!$B$4</f>
        <v>320</v>
      </c>
    </row>
    <row r="13" customFormat="false" ht="15" hidden="false" customHeight="false" outlineLevel="0" collapsed="false">
      <c r="A13" s="25" t="s">
        <v>76</v>
      </c>
      <c r="B13" s="5" t="s">
        <v>77</v>
      </c>
      <c r="C13" s="26" t="s">
        <v>73</v>
      </c>
      <c r="D13" s="26" t="s">
        <v>63</v>
      </c>
      <c r="E13" s="27" t="n">
        <v>8</v>
      </c>
      <c r="F13" s="6" t="n">
        <f aca="false">E13*Assumptions!$B$4</f>
        <v>320</v>
      </c>
    </row>
    <row r="14" customFormat="false" ht="26.85" hidden="false" customHeight="false" outlineLevel="0" collapsed="false">
      <c r="A14" s="25" t="s">
        <v>78</v>
      </c>
      <c r="B14" s="5" t="s">
        <v>79</v>
      </c>
      <c r="C14" s="26" t="s">
        <v>73</v>
      </c>
      <c r="D14" s="26" t="s">
        <v>63</v>
      </c>
      <c r="E14" s="27" t="n">
        <v>14</v>
      </c>
      <c r="F14" s="6" t="n">
        <f aca="false">E14*Assumptions!$B$4</f>
        <v>560</v>
      </c>
    </row>
    <row r="15" customFormat="false" ht="26.85" hidden="false" customHeight="false" outlineLevel="0" collapsed="false">
      <c r="A15" s="25" t="s">
        <v>80</v>
      </c>
      <c r="B15" s="5" t="s">
        <v>81</v>
      </c>
      <c r="C15" s="26" t="s">
        <v>73</v>
      </c>
      <c r="D15" s="26" t="s">
        <v>63</v>
      </c>
      <c r="E15" s="27" t="n">
        <v>13</v>
      </c>
      <c r="F15" s="6" t="n">
        <f aca="false">E15*Assumptions!$B$4</f>
        <v>520</v>
      </c>
    </row>
    <row r="16" customFormat="false" ht="15" hidden="false" customHeight="false" outlineLevel="0" collapsed="false">
      <c r="A16" s="25" t="s">
        <v>82</v>
      </c>
      <c r="B16" s="5" t="s">
        <v>83</v>
      </c>
      <c r="C16" s="26" t="s">
        <v>73</v>
      </c>
      <c r="D16" s="26" t="s">
        <v>66</v>
      </c>
      <c r="E16" s="27" t="n">
        <v>8</v>
      </c>
      <c r="F16" s="6" t="n">
        <f aca="false">E16*Assumptions!$B$4</f>
        <v>320</v>
      </c>
    </row>
    <row r="17" customFormat="false" ht="15" hidden="false" customHeight="false" outlineLevel="0" collapsed="false">
      <c r="A17" s="25" t="s">
        <v>84</v>
      </c>
      <c r="B17" s="5" t="s">
        <v>85</v>
      </c>
      <c r="C17" s="26" t="s">
        <v>73</v>
      </c>
      <c r="D17" s="26" t="s">
        <v>66</v>
      </c>
      <c r="E17" s="27" t="n">
        <v>7</v>
      </c>
      <c r="F17" s="6" t="n">
        <f aca="false">E17*Assumptions!$B$4</f>
        <v>280</v>
      </c>
    </row>
    <row r="18" customFormat="false" ht="15" hidden="false" customHeight="false" outlineLevel="0" collapsed="false">
      <c r="A18" s="25" t="s">
        <v>86</v>
      </c>
      <c r="B18" s="5" t="s">
        <v>87</v>
      </c>
      <c r="C18" s="26" t="s">
        <v>73</v>
      </c>
      <c r="D18" s="26" t="s">
        <v>88</v>
      </c>
      <c r="E18" s="27" t="n">
        <v>5</v>
      </c>
      <c r="F18" s="6" t="n">
        <f aca="false">E18*Assumptions!$B$4</f>
        <v>200</v>
      </c>
    </row>
    <row r="19" customFormat="false" ht="15" hidden="false" customHeight="false" outlineLevel="0" collapsed="false">
      <c r="A19" s="25" t="s">
        <v>89</v>
      </c>
      <c r="B19" s="5" t="s">
        <v>90</v>
      </c>
      <c r="C19" s="26" t="s">
        <v>73</v>
      </c>
      <c r="D19" s="26" t="s">
        <v>66</v>
      </c>
      <c r="E19" s="27" t="n">
        <v>8</v>
      </c>
      <c r="F19" s="6" t="n">
        <f aca="false">E19*Assumptions!$B$4</f>
        <v>320</v>
      </c>
    </row>
    <row r="20" customFormat="false" ht="15" hidden="false" customHeight="false" outlineLevel="0" collapsed="false">
      <c r="A20" s="25" t="s">
        <v>91</v>
      </c>
      <c r="B20" s="5" t="s">
        <v>92</v>
      </c>
      <c r="C20" s="26" t="s">
        <v>73</v>
      </c>
      <c r="D20" s="26" t="s">
        <v>93</v>
      </c>
      <c r="E20" s="27" t="n">
        <v>4</v>
      </c>
      <c r="F20" s="6" t="n">
        <f aca="false">E20*Assumptions!$B$4</f>
        <v>160</v>
      </c>
    </row>
    <row r="21" customFormat="false" ht="26.85" hidden="false" customHeight="false" outlineLevel="0" collapsed="false">
      <c r="A21" s="25" t="s">
        <v>94</v>
      </c>
      <c r="B21" s="5" t="s">
        <v>95</v>
      </c>
      <c r="C21" s="26" t="s">
        <v>73</v>
      </c>
      <c r="D21" s="26" t="s">
        <v>60</v>
      </c>
      <c r="E21" s="27" t="n">
        <v>8</v>
      </c>
      <c r="F21" s="6" t="n">
        <f aca="false">E21*Assumptions!$B$4</f>
        <v>320</v>
      </c>
    </row>
    <row r="22" customFormat="false" ht="15" hidden="false" customHeight="false" outlineLevel="0" collapsed="false">
      <c r="A22" s="25" t="s">
        <v>96</v>
      </c>
      <c r="B22" s="5" t="s">
        <v>97</v>
      </c>
      <c r="C22" s="26" t="s">
        <v>73</v>
      </c>
      <c r="D22" s="26" t="s">
        <v>60</v>
      </c>
      <c r="E22" s="27" t="n">
        <v>8</v>
      </c>
      <c r="F22" s="6" t="n">
        <f aca="false">E22*Assumptions!$B$4</f>
        <v>320</v>
      </c>
    </row>
    <row r="23" customFormat="false" ht="15" hidden="false" customHeight="false" outlineLevel="0" collapsed="false">
      <c r="A23" s="25" t="s">
        <v>98</v>
      </c>
      <c r="B23" s="5" t="s">
        <v>99</v>
      </c>
      <c r="C23" s="26" t="s">
        <v>73</v>
      </c>
      <c r="D23" s="26" t="s">
        <v>63</v>
      </c>
      <c r="E23" s="27" t="n">
        <v>18</v>
      </c>
      <c r="F23" s="6" t="n">
        <f aca="false">E23*Assumptions!$B$4</f>
        <v>720</v>
      </c>
    </row>
    <row r="24" customFormat="false" ht="15" hidden="false" customHeight="false" outlineLevel="0" collapsed="false">
      <c r="A24" s="25" t="s">
        <v>100</v>
      </c>
      <c r="B24" s="5" t="s">
        <v>101</v>
      </c>
      <c r="C24" s="26" t="s">
        <v>73</v>
      </c>
      <c r="D24" s="26" t="s">
        <v>60</v>
      </c>
      <c r="E24" s="27" t="n">
        <v>8</v>
      </c>
      <c r="F24" s="6" t="n">
        <f aca="false">E24*Assumptions!$B$4</f>
        <v>320</v>
      </c>
    </row>
    <row r="25" customFormat="false" ht="26.85" hidden="false" customHeight="false" outlineLevel="0" collapsed="false">
      <c r="A25" s="25" t="s">
        <v>102</v>
      </c>
      <c r="B25" s="5" t="s">
        <v>103</v>
      </c>
      <c r="C25" s="26" t="s">
        <v>73</v>
      </c>
      <c r="D25" s="26" t="s">
        <v>63</v>
      </c>
      <c r="E25" s="27" t="n">
        <v>12</v>
      </c>
      <c r="F25" s="6" t="n">
        <f aca="false">E25*Assumptions!$B$4</f>
        <v>480</v>
      </c>
    </row>
    <row r="26" customFormat="false" ht="15" hidden="false" customHeight="false" outlineLevel="0" collapsed="false">
      <c r="A26" s="25" t="s">
        <v>104</v>
      </c>
      <c r="B26" s="5" t="s">
        <v>105</v>
      </c>
      <c r="C26" s="26" t="s">
        <v>73</v>
      </c>
      <c r="D26" s="26" t="s">
        <v>63</v>
      </c>
      <c r="E26" s="27" t="n">
        <v>14</v>
      </c>
      <c r="F26" s="6" t="n">
        <f aca="false">E26*Assumptions!$B$4</f>
        <v>560</v>
      </c>
    </row>
    <row r="27" customFormat="false" ht="15" hidden="false" customHeight="false" outlineLevel="0" collapsed="false">
      <c r="A27" s="25" t="s">
        <v>106</v>
      </c>
      <c r="B27" s="5" t="s">
        <v>107</v>
      </c>
      <c r="C27" s="26" t="s">
        <v>73</v>
      </c>
      <c r="D27" s="26" t="s">
        <v>60</v>
      </c>
      <c r="E27" s="27" t="n">
        <v>8</v>
      </c>
      <c r="F27" s="6" t="n">
        <f aca="false">E27*Assumptions!$B$4</f>
        <v>320</v>
      </c>
    </row>
    <row r="28" customFormat="false" ht="15" hidden="false" customHeight="false" outlineLevel="0" collapsed="false">
      <c r="A28" s="25" t="s">
        <v>108</v>
      </c>
      <c r="B28" s="5" t="s">
        <v>109</v>
      </c>
      <c r="C28" s="26" t="s">
        <v>73</v>
      </c>
      <c r="D28" s="26" t="s">
        <v>93</v>
      </c>
      <c r="E28" s="27" t="n">
        <v>2</v>
      </c>
      <c r="F28" s="6" t="n">
        <f aca="false">E28*Assumptions!$B$4</f>
        <v>80</v>
      </c>
    </row>
    <row r="29" customFormat="false" ht="26.85" hidden="false" customHeight="false" outlineLevel="0" collapsed="false">
      <c r="A29" s="25" t="s">
        <v>110</v>
      </c>
      <c r="B29" s="5" t="s">
        <v>111</v>
      </c>
      <c r="C29" s="26" t="s">
        <v>73</v>
      </c>
      <c r="D29" s="26" t="s">
        <v>93</v>
      </c>
      <c r="E29" s="27" t="n">
        <v>3</v>
      </c>
      <c r="F29" s="6" t="n">
        <f aca="false">E29*Assumptions!$B$4</f>
        <v>120</v>
      </c>
    </row>
    <row r="30" customFormat="false" ht="15" hidden="false" customHeight="false" outlineLevel="0" collapsed="false">
      <c r="A30" s="28"/>
      <c r="B30" s="29" t="s">
        <v>112</v>
      </c>
      <c r="C30" s="28"/>
      <c r="D30" s="28"/>
      <c r="E30" s="30" t="n">
        <f aca="false">SUM(E11:E29)</f>
        <v>162</v>
      </c>
      <c r="F30" s="31" t="n">
        <f aca="false">SUM(F11:F29)</f>
        <v>6480</v>
      </c>
    </row>
    <row r="31" customFormat="false" ht="15" hidden="false" customHeight="false" outlineLevel="0" collapsed="false">
      <c r="A31" s="23"/>
      <c r="B31" s="24" t="s">
        <v>113</v>
      </c>
      <c r="C31" s="23"/>
      <c r="D31" s="23"/>
      <c r="E31" s="23"/>
      <c r="F31" s="23"/>
    </row>
    <row r="32" customFormat="false" ht="15" hidden="false" customHeight="false" outlineLevel="0" collapsed="false">
      <c r="A32" s="25" t="s">
        <v>114</v>
      </c>
      <c r="B32" s="5" t="s">
        <v>115</v>
      </c>
      <c r="C32" s="26" t="s">
        <v>116</v>
      </c>
      <c r="D32" s="26" t="s">
        <v>88</v>
      </c>
      <c r="E32" s="27" t="n">
        <v>12</v>
      </c>
      <c r="F32" s="6" t="n">
        <f aca="false">E32*Assumptions!$B$4</f>
        <v>480</v>
      </c>
    </row>
    <row r="33" customFormat="false" ht="15" hidden="false" customHeight="false" outlineLevel="0" collapsed="false">
      <c r="A33" s="25" t="s">
        <v>117</v>
      </c>
      <c r="B33" s="5" t="s">
        <v>118</v>
      </c>
      <c r="C33" s="26" t="s">
        <v>116</v>
      </c>
      <c r="D33" s="26" t="s">
        <v>63</v>
      </c>
      <c r="E33" s="27" t="n">
        <v>30</v>
      </c>
      <c r="F33" s="6" t="n">
        <f aca="false">E33*Assumptions!$B$4</f>
        <v>1200</v>
      </c>
    </row>
    <row r="34" customFormat="false" ht="15" hidden="false" customHeight="false" outlineLevel="0" collapsed="false">
      <c r="A34" s="25" t="s">
        <v>119</v>
      </c>
      <c r="B34" s="5" t="s">
        <v>120</v>
      </c>
      <c r="C34" s="26" t="s">
        <v>116</v>
      </c>
      <c r="D34" s="26" t="s">
        <v>60</v>
      </c>
      <c r="E34" s="27" t="n">
        <v>24</v>
      </c>
      <c r="F34" s="6" t="n">
        <f aca="false">E34*Assumptions!$B$4</f>
        <v>960</v>
      </c>
    </row>
    <row r="35" customFormat="false" ht="15" hidden="false" customHeight="false" outlineLevel="0" collapsed="false">
      <c r="A35" s="25" t="s">
        <v>121</v>
      </c>
      <c r="B35" s="5" t="s">
        <v>122</v>
      </c>
      <c r="C35" s="26" t="s">
        <v>116</v>
      </c>
      <c r="D35" s="26" t="s">
        <v>123</v>
      </c>
      <c r="E35" s="27" t="n">
        <v>60</v>
      </c>
      <c r="F35" s="6" t="n">
        <f aca="false">E35*Assumptions!$B$4</f>
        <v>2400</v>
      </c>
    </row>
    <row r="36" customFormat="false" ht="15" hidden="false" customHeight="false" outlineLevel="0" collapsed="false">
      <c r="A36" s="25" t="s">
        <v>124</v>
      </c>
      <c r="B36" s="5" t="s">
        <v>125</v>
      </c>
      <c r="C36" s="26" t="s">
        <v>116</v>
      </c>
      <c r="D36" s="26" t="s">
        <v>88</v>
      </c>
      <c r="E36" s="27" t="n">
        <v>12</v>
      </c>
      <c r="F36" s="6" t="n">
        <f aca="false">E36*Assumptions!$B$4</f>
        <v>480</v>
      </c>
    </row>
    <row r="37" customFormat="false" ht="15" hidden="false" customHeight="false" outlineLevel="0" collapsed="false">
      <c r="A37" s="25" t="s">
        <v>126</v>
      </c>
      <c r="B37" s="5" t="s">
        <v>127</v>
      </c>
      <c r="C37" s="26" t="s">
        <v>116</v>
      </c>
      <c r="D37" s="26" t="s">
        <v>60</v>
      </c>
      <c r="E37" s="27" t="n">
        <v>20</v>
      </c>
      <c r="F37" s="6" t="n">
        <f aca="false">E37*Assumptions!$B$4</f>
        <v>800</v>
      </c>
    </row>
    <row r="38" customFormat="false" ht="15" hidden="false" customHeight="false" outlineLevel="0" collapsed="false">
      <c r="A38" s="25" t="s">
        <v>128</v>
      </c>
      <c r="B38" s="5" t="s">
        <v>129</v>
      </c>
      <c r="C38" s="26" t="s">
        <v>116</v>
      </c>
      <c r="D38" s="26" t="s">
        <v>60</v>
      </c>
      <c r="E38" s="27" t="n">
        <v>16</v>
      </c>
      <c r="F38" s="6" t="n">
        <f aca="false">E38*Assumptions!$B$4</f>
        <v>640</v>
      </c>
    </row>
    <row r="39" customFormat="false" ht="15" hidden="false" customHeight="false" outlineLevel="0" collapsed="false">
      <c r="A39" s="25" t="s">
        <v>130</v>
      </c>
      <c r="B39" s="5" t="s">
        <v>131</v>
      </c>
      <c r="C39" s="26" t="s">
        <v>116</v>
      </c>
      <c r="D39" s="26" t="s">
        <v>93</v>
      </c>
      <c r="E39" s="27" t="n">
        <v>10</v>
      </c>
      <c r="F39" s="6" t="n">
        <f aca="false">E39*Assumptions!$B$4</f>
        <v>400</v>
      </c>
    </row>
    <row r="40" customFormat="false" ht="15" hidden="false" customHeight="false" outlineLevel="0" collapsed="false">
      <c r="A40" s="25" t="s">
        <v>132</v>
      </c>
      <c r="B40" s="5" t="s">
        <v>133</v>
      </c>
      <c r="C40" s="26" t="s">
        <v>116</v>
      </c>
      <c r="D40" s="26" t="s">
        <v>66</v>
      </c>
      <c r="E40" s="27" t="n">
        <v>24</v>
      </c>
      <c r="F40" s="6" t="n">
        <f aca="false">E40*Assumptions!$B$4</f>
        <v>960</v>
      </c>
    </row>
    <row r="41" customFormat="false" ht="15" hidden="false" customHeight="false" outlineLevel="0" collapsed="false">
      <c r="A41" s="28"/>
      <c r="B41" s="29" t="s">
        <v>134</v>
      </c>
      <c r="C41" s="28"/>
      <c r="D41" s="28"/>
      <c r="E41" s="30" t="n">
        <f aca="false">SUM(E32:E40)</f>
        <v>208</v>
      </c>
      <c r="F41" s="31" t="n">
        <f aca="false">SUM(F32:F40)</f>
        <v>8320</v>
      </c>
    </row>
    <row r="43" customFormat="false" ht="15" hidden="false" customHeight="false" outlineLevel="0" collapsed="false">
      <c r="B43" s="32" t="s">
        <v>135</v>
      </c>
    </row>
    <row r="44" customFormat="false" ht="15" hidden="false" customHeight="false" outlineLevel="0" collapsed="false">
      <c r="B44" s="5" t="s">
        <v>136</v>
      </c>
      <c r="C44" s="33"/>
      <c r="D44" s="33"/>
      <c r="E44" s="33"/>
      <c r="F44" s="6" t="n">
        <f aca="false">F9</f>
        <v>1320</v>
      </c>
    </row>
    <row r="45" customFormat="false" ht="15" hidden="false" customHeight="false" outlineLevel="0" collapsed="false">
      <c r="B45" s="5" t="s">
        <v>137</v>
      </c>
      <c r="C45" s="33"/>
      <c r="D45" s="33"/>
      <c r="E45" s="33"/>
      <c r="F45" s="6" t="n">
        <f aca="false">F30</f>
        <v>6480</v>
      </c>
    </row>
    <row r="46" customFormat="false" ht="15" hidden="false" customHeight="false" outlineLevel="0" collapsed="false">
      <c r="B46" s="5" t="s">
        <v>138</v>
      </c>
      <c r="C46" s="33"/>
      <c r="D46" s="33"/>
      <c r="E46" s="33"/>
      <c r="F46" s="34" t="n">
        <f aca="false">E9+E30</f>
        <v>195</v>
      </c>
    </row>
    <row r="47" customFormat="false" ht="15" hidden="false" customHeight="false" outlineLevel="0" collapsed="false">
      <c r="B47" s="5" t="s">
        <v>139</v>
      </c>
      <c r="C47" s="33"/>
      <c r="D47" s="33"/>
      <c r="E47" s="33"/>
      <c r="F47" s="35" t="n">
        <f aca="false">(E9+E30)/(Assumptions!$B$6*Assumptions!$B$7)</f>
        <v>1.50115473441109</v>
      </c>
    </row>
    <row r="48" customFormat="false" ht="15" hidden="false" customHeight="false" outlineLevel="0" collapsed="false">
      <c r="B48" s="5" t="s">
        <v>140</v>
      </c>
      <c r="C48" s="33"/>
      <c r="D48" s="33"/>
      <c r="E48" s="33"/>
      <c r="F48" s="6" t="n">
        <f aca="false">F47*Assumptions!$B$5</f>
        <v>135.103926096998</v>
      </c>
    </row>
    <row r="49" customFormat="false" ht="15" hidden="false" customHeight="false" outlineLevel="0" collapsed="false">
      <c r="B49" s="7" t="s">
        <v>141</v>
      </c>
      <c r="C49" s="23"/>
      <c r="D49" s="23"/>
      <c r="E49" s="23"/>
      <c r="F49" s="8" t="n">
        <f aca="false">F44+F45+F48</f>
        <v>7935.103926097</v>
      </c>
    </row>
    <row r="51" customFormat="false" ht="15" hidden="false" customHeight="false" outlineLevel="0" collapsed="false">
      <c r="B51" s="5" t="s">
        <v>142</v>
      </c>
      <c r="C51" s="33"/>
      <c r="D51" s="33"/>
      <c r="E51" s="33"/>
      <c r="F51" s="6" t="n">
        <f aca="false">F41</f>
        <v>8320</v>
      </c>
    </row>
    <row r="52" customFormat="false" ht="15" hidden="false" customHeight="false" outlineLevel="0" collapsed="false">
      <c r="B52" s="5" t="s">
        <v>143</v>
      </c>
      <c r="C52" s="33"/>
      <c r="D52" s="33"/>
      <c r="E52" s="33"/>
      <c r="F52" s="35" t="n">
        <f aca="false">E41/(Assumptions!$B$6*Assumptions!$B$7)</f>
        <v>1.60123171670516</v>
      </c>
    </row>
    <row r="53" customFormat="false" ht="15" hidden="false" customHeight="false" outlineLevel="0" collapsed="false">
      <c r="B53" s="5" t="s">
        <v>144</v>
      </c>
      <c r="C53" s="33"/>
      <c r="D53" s="33"/>
      <c r="E53" s="33"/>
      <c r="F53" s="6" t="n">
        <f aca="false">F52*Assumptions!$B$5</f>
        <v>144.110854503464</v>
      </c>
    </row>
    <row r="54" customFormat="false" ht="15" hidden="false" customHeight="false" outlineLevel="0" collapsed="false">
      <c r="B54" s="7" t="s">
        <v>145</v>
      </c>
      <c r="C54" s="23"/>
      <c r="D54" s="23"/>
      <c r="E54" s="23"/>
      <c r="F54" s="8" t="n">
        <f aca="false">F51+F53</f>
        <v>8464.11085450346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5" min="3" style="0" width="15"/>
  </cols>
  <sheetData>
    <row r="1" customFormat="false" ht="17.35" hidden="false" customHeight="false" outlineLevel="0" collapsed="false">
      <c r="A1" s="10" t="s">
        <v>146</v>
      </c>
      <c r="B1" s="10"/>
      <c r="C1" s="10"/>
      <c r="D1" s="10"/>
      <c r="E1" s="10"/>
    </row>
    <row r="3" customFormat="false" ht="15" hidden="false" customHeight="false" outlineLevel="0" collapsed="false">
      <c r="A3" s="22" t="s">
        <v>147</v>
      </c>
      <c r="B3" s="22" t="s">
        <v>148</v>
      </c>
      <c r="C3" s="21" t="s">
        <v>149</v>
      </c>
      <c r="D3" s="21" t="s">
        <v>150</v>
      </c>
      <c r="E3" s="21" t="s">
        <v>151</v>
      </c>
    </row>
    <row r="4" customFormat="false" ht="15" hidden="false" customHeight="false" outlineLevel="0" collapsed="false">
      <c r="A4" s="5" t="s">
        <v>152</v>
      </c>
      <c r="B4" s="36" t="s">
        <v>153</v>
      </c>
      <c r="C4" s="37" t="n">
        <v>9</v>
      </c>
      <c r="D4" s="37" t="n">
        <v>15</v>
      </c>
      <c r="E4" s="37" t="n">
        <v>30</v>
      </c>
    </row>
    <row r="5" customFormat="false" ht="15" hidden="false" customHeight="false" outlineLevel="0" collapsed="false">
      <c r="A5" s="5" t="s">
        <v>154</v>
      </c>
      <c r="B5" s="36" t="s">
        <v>155</v>
      </c>
      <c r="C5" s="37" t="n">
        <v>5</v>
      </c>
      <c r="D5" s="37" t="n">
        <v>8</v>
      </c>
      <c r="E5" s="37" t="n">
        <v>16</v>
      </c>
    </row>
    <row r="6" customFormat="false" ht="15" hidden="false" customHeight="false" outlineLevel="0" collapsed="false">
      <c r="A6" s="5" t="s">
        <v>156</v>
      </c>
      <c r="B6" s="36" t="s">
        <v>157</v>
      </c>
      <c r="C6" s="37" t="n">
        <v>0</v>
      </c>
      <c r="D6" s="37" t="n">
        <v>5</v>
      </c>
      <c r="E6" s="37" t="n">
        <v>10</v>
      </c>
    </row>
    <row r="7" customFormat="false" ht="15" hidden="false" customHeight="false" outlineLevel="0" collapsed="false">
      <c r="A7" s="5" t="s">
        <v>158</v>
      </c>
      <c r="B7" s="36" t="s">
        <v>159</v>
      </c>
      <c r="C7" s="37" t="n">
        <v>23</v>
      </c>
      <c r="D7" s="37" t="n">
        <v>28</v>
      </c>
      <c r="E7" s="37" t="n">
        <v>45</v>
      </c>
    </row>
    <row r="8" customFormat="false" ht="15" hidden="false" customHeight="false" outlineLevel="0" collapsed="false">
      <c r="A8" s="5" t="s">
        <v>160</v>
      </c>
      <c r="B8" s="36" t="s">
        <v>161</v>
      </c>
      <c r="C8" s="37" t="n">
        <v>0</v>
      </c>
      <c r="D8" s="37" t="n">
        <v>0</v>
      </c>
      <c r="E8" s="37" t="n">
        <v>20</v>
      </c>
    </row>
    <row r="9" customFormat="false" ht="15" hidden="false" customHeight="false" outlineLevel="0" collapsed="false">
      <c r="A9" s="5" t="s">
        <v>162</v>
      </c>
      <c r="B9" s="36" t="s">
        <v>163</v>
      </c>
      <c r="C9" s="6" t="n">
        <f aca="false">D9*0.5</f>
        <v>31.5</v>
      </c>
      <c r="D9" s="38" t="n">
        <f aca="false">Assumptions!$B$13</f>
        <v>63</v>
      </c>
      <c r="E9" s="6" t="n">
        <f aca="false">D9*2</f>
        <v>126</v>
      </c>
    </row>
    <row r="10" customFormat="false" ht="15" hidden="false" customHeight="false" outlineLevel="0" collapsed="false">
      <c r="A10" s="5" t="s">
        <v>164</v>
      </c>
      <c r="B10" s="36" t="s">
        <v>165</v>
      </c>
      <c r="C10" s="37" t="n">
        <v>20</v>
      </c>
      <c r="D10" s="37" t="n">
        <v>50</v>
      </c>
      <c r="E10" s="37" t="n">
        <v>120</v>
      </c>
    </row>
    <row r="11" customFormat="false" ht="15" hidden="false" customHeight="false" outlineLevel="0" collapsed="false">
      <c r="A11" s="5" t="s">
        <v>166</v>
      </c>
      <c r="B11" s="36" t="s">
        <v>167</v>
      </c>
      <c r="C11" s="37" t="n">
        <v>0</v>
      </c>
      <c r="D11" s="37" t="n">
        <v>20</v>
      </c>
      <c r="E11" s="37" t="n">
        <v>40</v>
      </c>
    </row>
    <row r="12" customFormat="false" ht="15" hidden="false" customHeight="false" outlineLevel="0" collapsed="false">
      <c r="A12" s="5" t="s">
        <v>168</v>
      </c>
      <c r="B12" s="36" t="s">
        <v>169</v>
      </c>
      <c r="C12" s="37" t="n">
        <v>5</v>
      </c>
      <c r="D12" s="37" t="n">
        <v>10</v>
      </c>
      <c r="E12" s="37" t="n">
        <v>20</v>
      </c>
    </row>
    <row r="13" customFormat="false" ht="15" hidden="false" customHeight="false" outlineLevel="0" collapsed="false">
      <c r="A13" s="39" t="s">
        <v>170</v>
      </c>
      <c r="B13" s="23"/>
      <c r="C13" s="8" t="n">
        <f aca="false">SUM(C4:C12)</f>
        <v>93.5</v>
      </c>
      <c r="D13" s="8" t="n">
        <f aca="false">SUM(D4:D12)</f>
        <v>199</v>
      </c>
      <c r="E13" s="8" t="n">
        <f aca="false">SUM(E4:E12)</f>
        <v>427</v>
      </c>
    </row>
    <row r="14" customFormat="false" ht="15" hidden="false" customHeight="false" outlineLevel="0" collapsed="false">
      <c r="A14" s="40" t="s">
        <v>171</v>
      </c>
      <c r="B14" s="33"/>
      <c r="C14" s="41" t="n">
        <f aca="false">C13*12</f>
        <v>1122</v>
      </c>
      <c r="D14" s="41" t="n">
        <f aca="false">D13*12</f>
        <v>2388</v>
      </c>
      <c r="E14" s="41" t="n">
        <f aca="false">E13*12</f>
        <v>5124</v>
      </c>
    </row>
    <row r="16" customFormat="false" ht="15" hidden="false" customHeight="false" outlineLevel="0" collapsed="false">
      <c r="A16" s="2" t="s">
        <v>172</v>
      </c>
      <c r="B16" s="2"/>
      <c r="C16" s="2"/>
      <c r="D16" s="2"/>
      <c r="E16" s="2"/>
    </row>
  </sheetData>
  <mergeCells count="2">
    <mergeCell ref="A1:E1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2026-06-01T19:08:13Z</dcterms:created>
  <dc:creator>openpyxl</dc:creator>
  <dc:description/>
  <dc:language>en-US</dc:language>
  <cp:lastModifiedBy/>
  <dcterms:modified xsi:type="dcterms:W3CDTF">2026-06-01T19:08:13Z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